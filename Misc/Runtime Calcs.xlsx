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BT_BS" sheetId="1" r:id="rId4"/>
    <sheet state="visible" name="PBT_BS+WD" sheetId="2" r:id="rId5"/>
  </sheets>
  <definedNames/>
  <calcPr/>
</workbook>
</file>

<file path=xl/sharedStrings.xml><?xml version="1.0" encoding="utf-8"?>
<sst xmlns="http://schemas.openxmlformats.org/spreadsheetml/2006/main" count="20" uniqueCount="8">
  <si>
    <t>Training Size:</t>
  </si>
  <si>
    <t>Seed 38042</t>
  </si>
  <si>
    <t>Epochs:</t>
  </si>
  <si>
    <t>Batch size</t>
  </si>
  <si>
    <t># of Epochs</t>
  </si>
  <si>
    <t>Training Steps</t>
  </si>
  <si>
    <t>Training Steps:</t>
  </si>
  <si>
    <t>Seed 27041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</si>
</sst>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17.63"/>
  </cols>
  <sheetData>
    <row r="1">
      <c r="A1" s="1" t="s">
        <v>0</v>
      </c>
      <c r="B1" s="2">
        <v>50000.0</v>
      </c>
    </row>
    <row r="3">
      <c r="A3" s="1" t="s">
        <v>1</v>
      </c>
    </row>
    <row r="5">
      <c r="A5" s="1" t="s">
        <v>2</v>
      </c>
    </row>
    <row r="6">
      <c r="B6" s="1" t="s">
        <v>3</v>
      </c>
      <c r="C6" s="1" t="s">
        <v>4</v>
      </c>
      <c r="D6" s="1" t="s">
        <v>5</v>
      </c>
    </row>
    <row r="7">
      <c r="A7" s="1"/>
      <c r="B7" s="2">
        <v>32.0</v>
      </c>
      <c r="D7" s="3">
        <f t="shared" ref="D7:D10" si="1">C7*(B$1/B7)</f>
        <v>0</v>
      </c>
    </row>
    <row r="8">
      <c r="B8" s="2">
        <v>64.0</v>
      </c>
      <c r="C8" s="3">
        <f>70 + 50 + 10</f>
        <v>130</v>
      </c>
      <c r="D8" s="3">
        <f t="shared" si="1"/>
        <v>101562.5</v>
      </c>
    </row>
    <row r="9">
      <c r="B9" s="2">
        <v>128.0</v>
      </c>
      <c r="C9" s="3">
        <f>35 + 20 + 5</f>
        <v>60</v>
      </c>
      <c r="D9" s="3">
        <f t="shared" si="1"/>
        <v>23437.5</v>
      </c>
    </row>
    <row r="10">
      <c r="B10" s="2">
        <v>256.0</v>
      </c>
      <c r="C10" s="2">
        <f>70 + 35 + 40 + 15</f>
        <v>160</v>
      </c>
      <c r="D10" s="3">
        <f t="shared" si="1"/>
        <v>31250</v>
      </c>
    </row>
    <row r="12">
      <c r="A12" s="1" t="s">
        <v>6</v>
      </c>
      <c r="B12" s="3">
        <f>SUM(D7:D10)</f>
        <v>156250</v>
      </c>
    </row>
  </sheetData>
  <mergeCells count="1">
    <mergeCell ref="A3:D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50000.0</v>
      </c>
    </row>
    <row r="3">
      <c r="A3" s="1" t="s">
        <v>1</v>
      </c>
    </row>
    <row r="5">
      <c r="A5" s="1" t="s">
        <v>2</v>
      </c>
    </row>
    <row r="6">
      <c r="B6" s="1" t="s">
        <v>3</v>
      </c>
      <c r="C6" s="1" t="s">
        <v>4</v>
      </c>
      <c r="D6" s="1" t="s">
        <v>5</v>
      </c>
    </row>
    <row r="7">
      <c r="A7" s="1"/>
      <c r="B7" s="2">
        <v>32.0</v>
      </c>
      <c r="C7" s="3">
        <f>40 + 5</f>
        <v>45</v>
      </c>
      <c r="D7" s="3">
        <f t="shared" ref="D7:D10" si="1">C7*(B$1/B7)</f>
        <v>70312.5</v>
      </c>
    </row>
    <row r="8">
      <c r="B8" s="2">
        <v>64.0</v>
      </c>
      <c r="D8" s="3">
        <f t="shared" si="1"/>
        <v>0</v>
      </c>
    </row>
    <row r="9">
      <c r="B9" s="2">
        <v>128.0</v>
      </c>
      <c r="C9" s="3">
        <f>10 + 50 + 10</f>
        <v>70</v>
      </c>
      <c r="D9" s="3">
        <f t="shared" si="1"/>
        <v>27343.75</v>
      </c>
    </row>
    <row r="10">
      <c r="B10" s="2">
        <v>256.0</v>
      </c>
      <c r="C10" s="2">
        <v>25.0</v>
      </c>
      <c r="D10" s="3">
        <f t="shared" si="1"/>
        <v>4882.8125</v>
      </c>
    </row>
    <row r="12">
      <c r="A12" s="1" t="s">
        <v>6</v>
      </c>
      <c r="B12" s="3">
        <f>SUM(D7:D10)</f>
        <v>102539.0625</v>
      </c>
    </row>
    <row r="15">
      <c r="A15" s="1" t="s">
        <v>7</v>
      </c>
    </row>
    <row r="17">
      <c r="A17" s="1" t="s">
        <v>2</v>
      </c>
    </row>
    <row r="18">
      <c r="B18" s="1" t="s">
        <v>3</v>
      </c>
      <c r="C18" s="1" t="s">
        <v>4</v>
      </c>
      <c r="D18" s="1" t="s">
        <v>5</v>
      </c>
    </row>
    <row r="19">
      <c r="A19" s="1"/>
      <c r="B19" s="2">
        <v>32.0</v>
      </c>
      <c r="D19" s="3">
        <f t="shared" ref="D19:D22" si="2">C19*(B$1/B19)</f>
        <v>0</v>
      </c>
    </row>
    <row r="20">
      <c r="B20" s="2">
        <v>64.0</v>
      </c>
      <c r="C20" s="2">
        <v>25.0</v>
      </c>
      <c r="D20" s="3">
        <f t="shared" si="2"/>
        <v>19531.25</v>
      </c>
    </row>
    <row r="21">
      <c r="B21" s="2">
        <v>128.0</v>
      </c>
      <c r="C21" s="3">
        <f>35</f>
        <v>35</v>
      </c>
      <c r="D21" s="3">
        <f t="shared" si="2"/>
        <v>13671.875</v>
      </c>
    </row>
    <row r="22">
      <c r="B22" s="2">
        <v>256.0</v>
      </c>
      <c r="C22" s="2">
        <f>70 + 10</f>
        <v>80</v>
      </c>
      <c r="D22" s="3">
        <f t="shared" si="2"/>
        <v>15625</v>
      </c>
    </row>
    <row r="24">
      <c r="A24" s="1" t="s">
        <v>6</v>
      </c>
      <c r="B24" s="3">
        <f>SUM(D19:D22)</f>
        <v>48828.125</v>
      </c>
    </row>
  </sheetData>
  <mergeCells count="2">
    <mergeCell ref="A3:D3"/>
    <mergeCell ref="A15:D15"/>
  </mergeCells>
  <drawing r:id="rId1"/>
</worksheet>
</file>